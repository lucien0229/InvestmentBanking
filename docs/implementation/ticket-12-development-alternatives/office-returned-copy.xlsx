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2"/>
    <sheet name="Inputs" sheetId="2" state="visible" r:id="rId3"/>
    <sheet name="Assumptions" sheetId="3" state="visible" r:id="rId4"/>
    <sheet name="Valuation" sheetId="4" state="visible" r:id="rId5"/>
    <sheet name="Scenarios" sheetId="5" state="visible" r:id="rId6"/>
    <sheet name="Lineage" sheetId="6" state="visible" r:id="rId7"/>
    <sheet name="Banker Notes" sheetId="7" state="visible" r:id="rId8"/>
  </sheets>
  <definedNames>
    <definedName function="false" hidden="false" localSheetId="2" name="_xlnm.Print_Area" vbProcedure="false">Assumptions!$A$1:$H$18</definedName>
    <definedName function="false" hidden="false" localSheetId="2" name="_xlnm.Print_Titles" vbProcedure="false">Assumptions!$1:$7</definedName>
    <definedName function="false" hidden="false" localSheetId="6" name="_xlnm.Print_Area" vbProcedure="false">'Banker Notes'!$A$1:$H$18</definedName>
    <definedName function="false" hidden="false" localSheetId="6" name="_xlnm.Print_Titles" vbProcedure="false">'Banker Notes'!$1:$7</definedName>
    <definedName function="false" hidden="false" localSheetId="1" name="_xlnm.Print_Area" vbProcedure="false">Inputs!$A$1:$H$18</definedName>
    <definedName function="false" hidden="false" localSheetId="1" name="_xlnm.Print_Titles" vbProcedure="false">Inputs!$1:$7</definedName>
    <definedName function="false" hidden="false" localSheetId="5" name="_xlnm.Print_Area" vbProcedure="false">Lineage!$A$1:$H$18</definedName>
    <definedName function="false" hidden="false" localSheetId="5" name="_xlnm.Print_Titles" vbProcedure="false">Lineage!$1:$7</definedName>
    <definedName function="false" hidden="false" localSheetId="0" name="_xlnm.Print_Area" vbProcedure="false">Overview!$A$1:$H$18</definedName>
    <definedName function="false" hidden="false" localSheetId="0" name="_xlnm.Print_Titles" vbProcedure="false">Overview!$1:$7</definedName>
    <definedName function="false" hidden="false" localSheetId="4" name="_xlnm.Print_Area" vbProcedure="false">Scenarios!$A$1:$H$31</definedName>
    <definedName function="false" hidden="false" localSheetId="4" name="_xlnm.Print_Titles" vbProcedure="false">Scenarios!$1:$7</definedName>
    <definedName function="false" hidden="false" localSheetId="3" name="_xlnm.Print_Area" vbProcedure="false">Valuation!$A$1:$H$18</definedName>
    <definedName function="false" hidden="false" localSheetId="3" name="_xlnm.Print_Titles" vbProcedure="false">Valuation!$1:$7</definedName>
    <definedName function="false" hidden="false" name="Cash_1" vbProcedure="false">Inputs!$B$8</definedName>
    <definedName function="false" hidden="false" name="Debt_1" vbProcedure="false">Assumptions!$B$9</definedName>
    <definedName function="false" hidden="false" name="EV_1" vbProcedure="false">Assumptions!$B$8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Source 48f0c306-3015-42b5-a6a0-41f7ef4c272d | {"kind": "csv_row", "row": 4} | Decision f56cfa28-7ebf-4de7-a263-1598b9c46ca5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Source None | {"decision_id": "fca51162-07f5-468e-b492-4e5b9b14c0d9", "kind": "banker_assumption"} | Decision fca51162-07f5-468e-b492-4e5b9b14c0d9</t>
        </r>
      </text>
    </comment>
    <comment ref="B9" authorId="0">
      <text>
        <r>
          <rPr>
            <sz val="11"/>
            <color rgb="FF000000"/>
            <rFont val="Calibri"/>
            <family val="2"/>
            <charset val="1"/>
          </rPr>
          <t xml:space="preserve">Source None | {"decision_id": "5a815492-d031-47c9-aeab-42887a5d3add", "kind": "banker_assumption"} | Decision 5a815492-d031-47c9-aeab-42887a5d3add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Banker content must never be silently overwritten.</t>
        </r>
      </text>
    </comment>
  </commentList>
</comments>
</file>

<file path=xl/sharedStrings.xml><?xml version="1.0" encoding="utf-8"?>
<sst xmlns="http://schemas.openxmlformats.org/spreadsheetml/2006/main" count="149" uniqueCount="92">
  <si>
    <t xml:space="preserve">DEAL CONTROL / OVERVIEW</t>
  </si>
  <si>
    <t xml:space="preserve">Workbook development acceptance</t>
  </si>
  <si>
    <t xml:space="preserve">Revision 24b8a4ec-7bba-465d-bb2f-0bf6b3728627</t>
  </si>
  <si>
    <t xml:space="preserve">Internal valuation review | Named Individual Banker</t>
  </si>
  <si>
    <t xml:space="preserve">INTERNAL | SYNTHETIC | No external-use authorization</t>
  </si>
  <si>
    <t xml:space="preserve">Control</t>
  </si>
  <si>
    <t xml:space="preserve">Exact value</t>
  </si>
  <si>
    <t xml:space="preserve">Purpose</t>
  </si>
  <si>
    <t xml:space="preserve">Internal valuation review</t>
  </si>
  <si>
    <t xml:space="preserve">Audience</t>
  </si>
  <si>
    <t xml:space="preserve">Named Individual Banker</t>
  </si>
  <si>
    <t xml:space="preserve">Calculation engine</t>
  </si>
  <si>
    <t xml:space="preserve">LibreOffice 7.4.7.2 40(Build:2)</t>
  </si>
  <si>
    <t xml:space="preserve">Template</t>
  </si>
  <si>
    <t xml:space="preserve">analysis-valuation-1.0.0</t>
  </si>
  <si>
    <t xml:space="preserve">Calculation mode</t>
  </si>
  <si>
    <t xml:space="preserve">Automatic; recalculated on exact delivered bytes</t>
  </si>
  <si>
    <t xml:space="preserve">Evaluation time</t>
  </si>
  <si>
    <t xml:space="preserve">2026-09-06T10:50:11Z</t>
  </si>
  <si>
    <t xml:space="preserve">Scope</t>
  </si>
  <si>
    <t xml:space="preserve">Controlled EV-to-equity models and scenarios only</t>
  </si>
  <si>
    <t xml:space="preserve">Readiness</t>
  </si>
  <si>
    <t xml:space="preserve">Inspect current Review/QC; generation never establishes readiness</t>
  </si>
  <si>
    <t xml:space="preserve">Office compatibility</t>
  </si>
  <si>
    <t xml:space="preserve">Development LibreOffice profile; Microsoft Excel not verified</t>
  </si>
  <si>
    <t xml:space="preserve">External use</t>
  </si>
  <si>
    <t xml:space="preserve">Not authorized</t>
  </si>
  <si>
    <t xml:space="preserve">Limitations</t>
  </si>
  <si>
    <t xml:space="preserve">Cash Fact uses the existing controlled synthetic CSV fixture; this is not production parser or financial advice evidence. | Synthetic development acceptance only. LibreOffice Calc is the declared supported application. Windows Excel compatibility and cloud KMS custody are unverified. External use is unauthorized.</t>
  </si>
  <si>
    <t xml:space="preserve">DEAL CONTROL / INPUTS</t>
  </si>
  <si>
    <t xml:space="preserve">Definition</t>
  </si>
  <si>
    <t xml:space="preserve">Value</t>
  </si>
  <si>
    <t xml:space="preserve">Period</t>
  </si>
  <si>
    <t xml:space="preserve">Unit / currency</t>
  </si>
  <si>
    <t xml:space="preserve">Sign / precision</t>
  </si>
  <si>
    <t xml:space="preserve">Actual / forecast</t>
  </si>
  <si>
    <t xml:space="preserve">Source locator</t>
  </si>
  <si>
    <t xml:space="preserve">Authority</t>
  </si>
  <si>
    <t xml:space="preserve">cash</t>
  </si>
  <si>
    <t xml:space="preserve">FY2025E</t>
  </si>
  <si>
    <t xml:space="preserve">USD million / USD</t>
  </si>
  <si>
    <t xml:space="preserve">positive / 1</t>
  </si>
  <si>
    <t xml:space="preserve">forecast</t>
  </si>
  <si>
    <t xml:space="preserve">{"kind": "csv_row", "row": 4}</t>
  </si>
  <si>
    <t xml:space="preserve">24f92e29-3e46-475e-b91e-800890b8cdc4</t>
  </si>
  <si>
    <t xml:space="preserve">DEAL CONTROL / ASSUMPTIONS</t>
  </si>
  <si>
    <t xml:space="preserve">enterprise_value</t>
  </si>
  <si>
    <t xml:space="preserve">{"decision_id": "fca51162-07f5-468e-b492-4e5b9b14c0d9", "kind": "banker_assumption"}</t>
  </si>
  <si>
    <t xml:space="preserve">c27b535f-fb9f-4a9a-adda-8968098670cb</t>
  </si>
  <si>
    <t xml:space="preserve">debt</t>
  </si>
  <si>
    <t xml:space="preserve">{"decision_id": "5a815492-d031-47c9-aeab-42887a5d3add", "kind": "banker_assumption"}</t>
  </si>
  <si>
    <t xml:space="preserve">cc8fff15-3000-4b6d-928f-b232186baaea</t>
  </si>
  <si>
    <t xml:space="preserve">DEAL CONTROL / VALUATION</t>
  </si>
  <si>
    <t xml:space="preserve">Scenario</t>
  </si>
  <si>
    <t xml:space="preserve">Enterprise value</t>
  </si>
  <si>
    <t xml:space="preserve">Cash</t>
  </si>
  <si>
    <t xml:space="preserve">Debt</t>
  </si>
  <si>
    <t xml:space="preserve">Equity value</t>
  </si>
  <si>
    <t xml:space="preserve">Expected equity</t>
  </si>
  <si>
    <t xml:space="preserve">Tie-out difference</t>
  </si>
  <si>
    <t xml:space="preserve">Units / period</t>
  </si>
  <si>
    <t xml:space="preserve">Base case — synthetic</t>
  </si>
  <si>
    <t xml:space="preserve">USD million / FY2025E</t>
  </si>
  <si>
    <t xml:space="preserve">DEAL CONTROL / SCENARIOS</t>
  </si>
  <si>
    <t xml:space="preserve">Run / exact model</t>
  </si>
  <si>
    <t xml:space="preserve">Assumption scope</t>
  </si>
  <si>
    <t xml:space="preserve">41dce42c-a128-4e40-a890-5ed27b199542 / 3466775f-95dc-4ac8-a517-86e1170005b3</t>
  </si>
  <si>
    <t xml:space="preserve">Assumptions remain assumptions; scenario is not a prediction.</t>
  </si>
  <si>
    <t xml:space="preserve">DEAL CONTROL / LINEAGE</t>
  </si>
  <si>
    <t xml:space="preserve">Native region</t>
  </si>
  <si>
    <t xml:space="preserve">Source record</t>
  </si>
  <si>
    <t xml:space="preserve">Representation</t>
  </si>
  <si>
    <t xml:space="preserve">Source SHA-256</t>
  </si>
  <si>
    <t xml:space="preserve">Fact / assumption</t>
  </si>
  <si>
    <t xml:space="preserve">Decision</t>
  </si>
  <si>
    <t xml:space="preserve">Run / model / scenario</t>
  </si>
  <si>
    <t xml:space="preserve">Assumptions!B8 -&gt; Valuation!B8:G8</t>
  </si>
  <si>
    <t xml:space="preserve">Not applicable</t>
  </si>
  <si>
    <t xml:space="preserve">fca51162-07f5-468e-b492-4e5b9b14c0d9</t>
  </si>
  <si>
    <t xml:space="preserve">41dce42c-a128-4e40-a890-5ed27b199542 / 3466775f-95dc-4ac8-a517-86e1170005b3 / a2237c8d-2f0b-46a7-87ac-7084a4b5118a</t>
  </si>
  <si>
    <t xml:space="preserve">Inputs!B8 -&gt; Valuation!B8:G8</t>
  </si>
  <si>
    <t xml:space="preserve">48f0c306-3015-42b5-a6a0-41f7ef4c272d</t>
  </si>
  <si>
    <t xml:space="preserve">749bc377-78f8-4a62-aaf6-5dac3bf9d46e</t>
  </si>
  <si>
    <t xml:space="preserve">bf9c5f12dad07d99a76dea14ec41baa51b7baeb4861b07be3736316b0d2e1820</t>
  </si>
  <si>
    <t xml:space="preserve">f56cfa28-7ebf-4de7-a263-1598b9c46ca5</t>
  </si>
  <si>
    <t xml:space="preserve">Assumptions!B9 -&gt; Valuation!B8:G8</t>
  </si>
  <si>
    <t xml:space="preserve">5a815492-d031-47c9-aeab-42887a5d3add</t>
  </si>
  <si>
    <t xml:space="preserve">DEAL CONTROL / BANKER NOTES</t>
  </si>
  <si>
    <t xml:space="preserve">Ownership</t>
  </si>
  <si>
    <t xml:space="preserve">Notes</t>
  </si>
  <si>
    <t xml:space="preserve">Banker-owned</t>
  </si>
  <si>
    <t xml:space="preserve">Banker-owned notes; retained on supported save/reopen paths.
Development acceptance: Banker note retained after save and reopen.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</si>
</sst>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#########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0"/>
      <charset val="1"/>
    </font>
    <font>
      <sz val="10"/>
      <color rgb="FF18352C"/>
      <name val="DejaVu Sans"/>
      <family val="0"/>
      <charset val="1"/>
    </font>
    <font>
      <b val="true"/>
      <sz val="10"/>
      <color rgb="FF18352C"/>
      <name val="DejaVu San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8352C"/>
        <bgColor rgb="FF003300"/>
      </patternFill>
    </fill>
    <fill>
      <patternFill patternType="solid">
        <fgColor rgb="FFE8EEEA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8EE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5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value by controlled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Scenarios!B7</c:f>
              <c:strCache>
                <c:ptCount val="1"/>
                <c:pt idx="0">
                  <c:v>Equity value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Scenarios!$A$8</c:f>
              <c:strCache>
                <c:ptCount val="1"/>
                <c:pt idx="0">
                  <c:v>Base case — synthetic</c:v>
                </c:pt>
              </c:strCache>
            </c:strRef>
          </c:cat>
          <c:val>
            <c:numRef>
              <c:f>Scenarios!$B$8</c:f>
              <c:numCache>
                <c:formatCode>General</c:formatCode>
                <c:ptCount val="1"/>
                <c:pt idx="0">
                  <c:v>94.7</c:v>
                </c:pt>
              </c:numCache>
            </c:numRef>
          </c:val>
        </c:ser>
        <c:gapWidth val="150"/>
        <c:overlap val="0"/>
        <c:axId val="1185705"/>
        <c:axId val="36262041"/>
      </c:barChart>
      <c:catAx>
        <c:axId val="11857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62041"/>
        <c:crosses val="autoZero"/>
        <c:auto val="1"/>
        <c:lblAlgn val="ctr"/>
        <c:lblOffset val="100"/>
        <c:noMultiLvlLbl val="0"/>
      </c:catAx>
      <c:valAx>
        <c:axId val="36262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######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5705"/>
        <c:crosses val="autoZero"/>
        <c:crossBetween val="between"/>
      </c:valAx>
      <c:spPr>
        <a:solidFill>
          <a:srgbClr val="c0c0c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286920</xdr:colOff>
      <xdr:row>28</xdr:row>
      <xdr:rowOff>170280</xdr:rowOff>
    </xdr:to>
    <xdr:graphicFrame>
      <xdr:nvGraphicFramePr>
        <xdr:cNvPr id="0" name="Chart 1"/>
        <xdr:cNvGraphicFramePr/>
      </xdr:nvGraphicFramePr>
      <xdr:xfrm>
        <a:off x="0" y="3035160"/>
        <a:ext cx="89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5</v>
      </c>
      <c r="B7" s="5" t="s">
        <v>6</v>
      </c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A8" s="4" t="s">
        <v>7</v>
      </c>
      <c r="B8" s="3" t="s">
        <v>8</v>
      </c>
      <c r="C8" s="3"/>
      <c r="D8" s="3"/>
      <c r="E8" s="3"/>
      <c r="F8" s="3"/>
      <c r="G8" s="3"/>
      <c r="H8" s="3"/>
    </row>
    <row r="9" customFormat="false" ht="30" hidden="false" customHeight="true" outlineLevel="0" collapsed="false">
      <c r="A9" s="4" t="s">
        <v>9</v>
      </c>
      <c r="B9" s="3" t="s">
        <v>10</v>
      </c>
      <c r="C9" s="3"/>
      <c r="D9" s="3"/>
      <c r="E9" s="3"/>
      <c r="F9" s="3"/>
      <c r="G9" s="3"/>
      <c r="H9" s="3"/>
    </row>
    <row r="10" customFormat="false" ht="30" hidden="false" customHeight="true" outlineLevel="0" collapsed="false">
      <c r="A10" s="4" t="s">
        <v>11</v>
      </c>
      <c r="B10" s="3" t="s">
        <v>12</v>
      </c>
      <c r="C10" s="3"/>
      <c r="D10" s="3"/>
      <c r="E10" s="3"/>
      <c r="F10" s="3"/>
      <c r="G10" s="3"/>
      <c r="H10" s="3"/>
    </row>
    <row r="11" customFormat="false" ht="30" hidden="false" customHeight="true" outlineLevel="0" collapsed="false">
      <c r="A11" s="4" t="s">
        <v>13</v>
      </c>
      <c r="B11" s="3" t="s">
        <v>14</v>
      </c>
      <c r="C11" s="3"/>
      <c r="D11" s="3"/>
      <c r="E11" s="3"/>
      <c r="F11" s="3"/>
      <c r="G11" s="3"/>
      <c r="H11" s="3"/>
    </row>
    <row r="12" customFormat="false" ht="30" hidden="false" customHeight="true" outlineLevel="0" collapsed="false">
      <c r="A12" s="4" t="s">
        <v>15</v>
      </c>
      <c r="B12" s="3" t="s">
        <v>16</v>
      </c>
      <c r="C12" s="3"/>
      <c r="D12" s="3"/>
      <c r="E12" s="3"/>
      <c r="F12" s="3"/>
      <c r="G12" s="3"/>
      <c r="H12" s="3"/>
    </row>
    <row r="13" customFormat="false" ht="30" hidden="false" customHeight="true" outlineLevel="0" collapsed="false">
      <c r="A13" s="4" t="s">
        <v>17</v>
      </c>
      <c r="B13" s="3" t="s">
        <v>18</v>
      </c>
      <c r="C13" s="3"/>
      <c r="D13" s="3"/>
      <c r="E13" s="3"/>
      <c r="F13" s="3"/>
      <c r="G13" s="3"/>
      <c r="H13" s="3"/>
    </row>
    <row r="14" customFormat="false" ht="30" hidden="false" customHeight="true" outlineLevel="0" collapsed="false">
      <c r="A14" s="4" t="s">
        <v>19</v>
      </c>
      <c r="B14" s="3" t="s">
        <v>20</v>
      </c>
      <c r="C14" s="3"/>
      <c r="D14" s="3"/>
      <c r="E14" s="3"/>
      <c r="F14" s="3"/>
      <c r="G14" s="3"/>
      <c r="H14" s="3"/>
    </row>
    <row r="15" customFormat="false" ht="30" hidden="false" customHeight="true" outlineLevel="0" collapsed="false">
      <c r="A15" s="4" t="s">
        <v>21</v>
      </c>
      <c r="B15" s="3" t="s">
        <v>22</v>
      </c>
      <c r="C15" s="3"/>
      <c r="D15" s="3"/>
      <c r="E15" s="3"/>
      <c r="F15" s="3"/>
      <c r="G15" s="3"/>
      <c r="H15" s="3"/>
    </row>
    <row r="16" customFormat="false" ht="30" hidden="false" customHeight="true" outlineLevel="0" collapsed="false">
      <c r="A16" s="4" t="s">
        <v>23</v>
      </c>
      <c r="B16" s="3" t="s">
        <v>24</v>
      </c>
      <c r="C16" s="3"/>
      <c r="D16" s="3"/>
      <c r="E16" s="3"/>
      <c r="F16" s="3"/>
      <c r="G16" s="3"/>
      <c r="H16" s="3"/>
    </row>
    <row r="17" customFormat="false" ht="30" hidden="false" customHeight="true" outlineLevel="0" collapsed="false">
      <c r="A17" s="4" t="s">
        <v>25</v>
      </c>
      <c r="B17" s="3" t="s">
        <v>26</v>
      </c>
      <c r="C17" s="3"/>
      <c r="D17" s="3"/>
      <c r="E17" s="3"/>
      <c r="F17" s="3"/>
      <c r="G17" s="3"/>
      <c r="H17" s="3"/>
    </row>
    <row r="18" customFormat="false" ht="30" hidden="false" customHeight="true" outlineLevel="0" collapsed="false">
      <c r="A18" s="4" t="s">
        <v>27</v>
      </c>
      <c r="B18" s="3" t="s">
        <v>28</v>
      </c>
      <c r="C18" s="3"/>
      <c r="D18" s="3"/>
      <c r="E18" s="3"/>
      <c r="F18" s="3"/>
      <c r="G18" s="3"/>
      <c r="H18" s="3"/>
    </row>
  </sheetData>
  <mergeCells count="16">
    <mergeCell ref="A1:H1"/>
    <mergeCell ref="A2:H2"/>
    <mergeCell ref="A3:H3"/>
    <mergeCell ref="A4:H4"/>
    <mergeCell ref="A5:H5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</row>
    <row r="8" customFormat="false" ht="23.85" hidden="false" customHeight="false" outlineLevel="0" collapsed="false">
      <c r="A8" s="4" t="s">
        <v>38</v>
      </c>
      <c r="B8" s="6" t="n">
        <v>4.7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44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</row>
    <row r="8" customFormat="false" ht="57.45" hidden="false" customHeight="false" outlineLevel="0" collapsed="false">
      <c r="A8" s="4" t="s">
        <v>46</v>
      </c>
      <c r="B8" s="6" t="n">
        <v>100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47</v>
      </c>
      <c r="H8" s="4" t="s">
        <v>48</v>
      </c>
    </row>
    <row r="9" customFormat="false" ht="57.45" hidden="false" customHeight="false" outlineLevel="0" collapsed="false">
      <c r="A9" s="4" t="s">
        <v>49</v>
      </c>
      <c r="B9" s="6" t="n">
        <v>10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50</v>
      </c>
      <c r="H9" s="4" t="s">
        <v>51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</row>
    <row r="8" customFormat="false" ht="12.8" hidden="false" customHeight="false" outlineLevel="0" collapsed="false">
      <c r="A8" s="4" t="s">
        <v>61</v>
      </c>
      <c r="B8" s="7" t="n">
        <f aca="false">EV_1</f>
        <v>100</v>
      </c>
      <c r="C8" s="7" t="n">
        <f aca="false">Cash_1</f>
        <v>4.7</v>
      </c>
      <c r="D8" s="7" t="n">
        <f aca="false">Debt_1</f>
        <v>10</v>
      </c>
      <c r="E8" s="7" t="n">
        <f aca="false">ROUND(EV_1+Cash_1-Debt_1,1)</f>
        <v>94.7</v>
      </c>
      <c r="F8" s="7" t="n">
        <v>94.7</v>
      </c>
      <c r="G8" s="7" t="n">
        <f aca="false">ROUND(E8-F8,1)</f>
        <v>0</v>
      </c>
      <c r="H8" s="4" t="s">
        <v>62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53</v>
      </c>
      <c r="B7" s="5" t="s">
        <v>57</v>
      </c>
      <c r="C7" s="5" t="s">
        <v>64</v>
      </c>
      <c r="D7" s="5" t="s">
        <v>65</v>
      </c>
      <c r="E7" s="5"/>
      <c r="F7" s="5"/>
      <c r="G7" s="5"/>
      <c r="H7" s="5"/>
    </row>
    <row r="8" customFormat="false" ht="46.25" hidden="false" customHeight="false" outlineLevel="0" collapsed="false">
      <c r="A8" s="4" t="s">
        <v>61</v>
      </c>
      <c r="B8" s="7" t="n">
        <f aca="false">Valuation!E8</f>
        <v>94.7</v>
      </c>
      <c r="C8" s="4" t="s">
        <v>66</v>
      </c>
      <c r="D8" s="4" t="s">
        <v>67</v>
      </c>
      <c r="E8" s="4"/>
      <c r="F8" s="4"/>
      <c r="G8" s="4"/>
      <c r="H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68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69</v>
      </c>
      <c r="B7" s="5" t="s">
        <v>70</v>
      </c>
      <c r="C7" s="5" t="s">
        <v>71</v>
      </c>
      <c r="D7" s="5" t="s">
        <v>72</v>
      </c>
      <c r="E7" s="5" t="s">
        <v>36</v>
      </c>
      <c r="F7" s="5" t="s">
        <v>73</v>
      </c>
      <c r="G7" s="5" t="s">
        <v>74</v>
      </c>
      <c r="H7" s="5" t="s">
        <v>75</v>
      </c>
    </row>
    <row r="8" customFormat="false" ht="68.65" hidden="false" customHeight="false" outlineLevel="0" collapsed="false">
      <c r="A8" s="4" t="s">
        <v>76</v>
      </c>
      <c r="B8" s="4" t="s">
        <v>77</v>
      </c>
      <c r="C8" s="4" t="s">
        <v>77</v>
      </c>
      <c r="D8" s="4" t="s">
        <v>77</v>
      </c>
      <c r="E8" s="4" t="s">
        <v>47</v>
      </c>
      <c r="F8" s="4" t="s">
        <v>48</v>
      </c>
      <c r="G8" s="4" t="s">
        <v>78</v>
      </c>
      <c r="H8" s="4" t="s">
        <v>79</v>
      </c>
    </row>
    <row r="9" customFormat="false" ht="68.65" hidden="false" customHeight="false" outlineLevel="0" collapsed="false">
      <c r="A9" s="4" t="s">
        <v>80</v>
      </c>
      <c r="B9" s="4" t="s">
        <v>81</v>
      </c>
      <c r="C9" s="4" t="s">
        <v>82</v>
      </c>
      <c r="D9" s="4" t="s">
        <v>83</v>
      </c>
      <c r="E9" s="4" t="s">
        <v>43</v>
      </c>
      <c r="F9" s="4" t="s">
        <v>44</v>
      </c>
      <c r="G9" s="4" t="s">
        <v>84</v>
      </c>
      <c r="H9" s="4" t="s">
        <v>79</v>
      </c>
    </row>
    <row r="10" customFormat="false" ht="68.65" hidden="false" customHeight="false" outlineLevel="0" collapsed="false">
      <c r="A10" s="4" t="s">
        <v>85</v>
      </c>
      <c r="B10" s="4" t="s">
        <v>77</v>
      </c>
      <c r="C10" s="4" t="s">
        <v>77</v>
      </c>
      <c r="D10" s="4" t="s">
        <v>77</v>
      </c>
      <c r="E10" s="4" t="s">
        <v>50</v>
      </c>
      <c r="F10" s="4" t="s">
        <v>51</v>
      </c>
      <c r="G10" s="4" t="s">
        <v>86</v>
      </c>
      <c r="H10" s="4" t="s">
        <v>79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</sheetData>
  <mergeCells count="5">
    <mergeCell ref="A1:H1"/>
    <mergeCell ref="A2:H2"/>
    <mergeCell ref="A3:H3"/>
    <mergeCell ref="A4:H4"/>
    <mergeCell ref="A5:H5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</row>
    <row r="2" customFormat="false" ht="22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2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2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88</v>
      </c>
      <c r="B7" s="5" t="s">
        <v>89</v>
      </c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4" t="s">
        <v>90</v>
      </c>
      <c r="B8" s="3" t="s">
        <v>91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4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</sheetData>
  <mergeCells count="6">
    <mergeCell ref="A1:H1"/>
    <mergeCell ref="A2:H2"/>
    <mergeCell ref="A3:H3"/>
    <mergeCell ref="A4:H4"/>
    <mergeCell ref="A5:H5"/>
    <mergeCell ref="B8:H11"/>
  </mergeCell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&amp;LINTERNAL / synthetic&amp;CRev 24b8a4ec-7bba-465d-bb2f-0bf6b3728627&amp;RPage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2026-09-06T10:50:12Z</dcterms:created>
  <dc:creator>openpyxl</dc:creator>
  <dc:description/>
  <dc:language>en-US</dc:language>
  <cp:lastModifiedBy/>
  <dcterms:modified xsi:type="dcterms:W3CDTF">2026-09-06T10:50:13Z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ceptance_profile">
    <vt:lpwstr>development_foss_v1</vt:lpwstr>
  </property>
  <property fmtid="{D5CDD505-2E9C-101B-9397-08002B2CF9AE}" pid="3" name="deal_id">
    <vt:lpwstr>290c3734-3b1a-442d-beab-89ce0f8b5e99</vt:lpwstr>
  </property>
  <property fmtid="{D5CDD505-2E9C-101B-9397-08002B2CF9AE}" pid="4" name="deliverable_id">
    <vt:lpwstr>b266b056-8173-4d85-b367-4f3220b7fc44</vt:lpwstr>
  </property>
  <property fmtid="{D5CDD505-2E9C-101B-9397-08002B2CF9AE}" pid="5" name="evaluation_time">
    <vt:lpwstr>2026-09-06T10:50:11Z</vt:lpwstr>
  </property>
  <property fmtid="{D5CDD505-2E9C-101B-9397-08002B2CF9AE}" pid="6" name="revision_id">
    <vt:lpwstr>24b8a4ec-7bba-465d-bb2f-0bf6b3728627</vt:lpwstr>
  </property>
  <property fmtid="{D5CDD505-2E9C-101B-9397-08002B2CF9AE}" pid="7" name="template_version">
    <vt:lpwstr>analysis-valuation-1.0.0</vt:lpwstr>
  </property>
</Properties>
</file>